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_Files\spotify_music_analysis\saved_data\"/>
    </mc:Choice>
  </mc:AlternateContent>
  <xr:revisionPtr revIDLastSave="0" documentId="13_ncr:1_{D5D89937-4B36-4699-AC69-B5ED334D2A36}" xr6:coauthVersionLast="47" xr6:coauthVersionMax="47" xr10:uidLastSave="{00000000-0000-0000-0000-000000000000}"/>
  <bookViews>
    <workbookView xWindow="-110" yWindow="-110" windowWidth="19420" windowHeight="10420" xr2:uid="{092EEAB6-AB77-4D44-A4BE-B2376AC2BF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7" i="1" l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" i="1"/>
  <c r="H61" i="1"/>
  <c r="I61" i="1"/>
  <c r="K61" i="1"/>
  <c r="H60" i="1"/>
  <c r="I60" i="1"/>
  <c r="K60" i="1"/>
  <c r="H59" i="1"/>
  <c r="I59" i="1"/>
  <c r="K59" i="1"/>
  <c r="H58" i="1"/>
  <c r="I58" i="1"/>
  <c r="K58" i="1"/>
  <c r="H57" i="1"/>
  <c r="I57" i="1"/>
  <c r="K57" i="1"/>
  <c r="K56" i="1"/>
  <c r="H56" i="1"/>
  <c r="I56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7" i="1"/>
  <c r="K8" i="1"/>
  <c r="K9" i="1"/>
  <c r="K10" i="1"/>
  <c r="K11" i="1"/>
  <c r="K12" i="1"/>
  <c r="K13" i="1"/>
  <c r="K14" i="1"/>
  <c r="K15" i="1"/>
  <c r="K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6" i="1"/>
</calcChain>
</file>

<file path=xl/sharedStrings.xml><?xml version="1.0" encoding="utf-8"?>
<sst xmlns="http://schemas.openxmlformats.org/spreadsheetml/2006/main" count="184" uniqueCount="104">
  <si>
    <t>Egypt</t>
  </si>
  <si>
    <t>Country</t>
  </si>
  <si>
    <t>Rank</t>
  </si>
  <si>
    <t>Genre</t>
  </si>
  <si>
    <t>Name</t>
  </si>
  <si>
    <t>Amr Diab</t>
  </si>
  <si>
    <t>Sherine</t>
  </si>
  <si>
    <t>Assala Nasri</t>
  </si>
  <si>
    <t>Wegz</t>
  </si>
  <si>
    <t>Chartmetric (Top 10 Artists by Peak Chartmetric Score in 2024) - The Chartmetric Score is calculated on a scale from 0 to 100 by comparing artists' performance relative to each other across streaming and social platforms. This score captures overall performance across 16 social and streaming platforms through a weighted average.</t>
  </si>
  <si>
    <t>Tamer Hosny</t>
  </si>
  <si>
    <t>Mohamed Ramadan</t>
  </si>
  <si>
    <t>Ahmed Saad</t>
  </si>
  <si>
    <t>Mohamed Hamaki</t>
  </si>
  <si>
    <t>Tamer Ashour</t>
  </si>
  <si>
    <t>Legendary, Arabic</t>
  </si>
  <si>
    <t>Superstar, Arabic</t>
  </si>
  <si>
    <t>Superstar, Egyptian Hip-Hop</t>
  </si>
  <si>
    <t>Mainstream, Arabic</t>
  </si>
  <si>
    <t>Mainstream, Egyptian</t>
  </si>
  <si>
    <t>Ghana</t>
  </si>
  <si>
    <t>Black Sherif</t>
  </si>
  <si>
    <t>MOLIY</t>
  </si>
  <si>
    <t>King Promise</t>
  </si>
  <si>
    <t>Amaarae</t>
  </si>
  <si>
    <t>Shatta Wale</t>
  </si>
  <si>
    <t>Sarkodie</t>
  </si>
  <si>
    <t>KiDi</t>
  </si>
  <si>
    <t>Stonebwoy</t>
  </si>
  <si>
    <t>Fameye</t>
  </si>
  <si>
    <t>Kwesi Arthur</t>
  </si>
  <si>
    <t>Mainstream, Afrobeats</t>
  </si>
  <si>
    <t>Mainstream, R&amp;B</t>
  </si>
  <si>
    <t>Mid-Level, African Hip-Hop</t>
  </si>
  <si>
    <t>Kenya</t>
  </si>
  <si>
    <t>Sofiya Nzau</t>
  </si>
  <si>
    <t>Otile Brown</t>
  </si>
  <si>
    <t>AratheJay</t>
  </si>
  <si>
    <t>Khaligraph Jones</t>
  </si>
  <si>
    <t>Bien</t>
  </si>
  <si>
    <t>Sauti Sol</t>
  </si>
  <si>
    <t>Wakadinali</t>
  </si>
  <si>
    <t>Willy Paul</t>
  </si>
  <si>
    <t>Benzema</t>
  </si>
  <si>
    <t>Nyashinski</t>
  </si>
  <si>
    <t>Superstar, House</t>
  </si>
  <si>
    <t>Mid-Level, Afrobeats</t>
  </si>
  <si>
    <t>Mainstream, African Hip-Hop</t>
  </si>
  <si>
    <t>Developing, African Hip-Hop</t>
  </si>
  <si>
    <t>Nigeria</t>
  </si>
  <si>
    <t>Wizkid</t>
  </si>
  <si>
    <t>Burna Boy</t>
  </si>
  <si>
    <t>Rema</t>
  </si>
  <si>
    <t>Ayra Starr</t>
  </si>
  <si>
    <t>Davido</t>
  </si>
  <si>
    <t>Fireboy DML</t>
  </si>
  <si>
    <t>Tems</t>
  </si>
  <si>
    <t>Omah Lay</t>
  </si>
  <si>
    <t>Asake</t>
  </si>
  <si>
    <t>Kizz Daniel</t>
  </si>
  <si>
    <t>Superstar, Afrobeats</t>
  </si>
  <si>
    <t>Superstar, R&amp;B</t>
  </si>
  <si>
    <t>South Africa</t>
  </si>
  <si>
    <t>Tyla</t>
  </si>
  <si>
    <t>Scotts Maphuma</t>
  </si>
  <si>
    <t>DJ Maphorisa</t>
  </si>
  <si>
    <t>LeeMcKrazy</t>
  </si>
  <si>
    <t>Kabza De Small</t>
  </si>
  <si>
    <t>MoBlack</t>
  </si>
  <si>
    <t>Ceeka RSA</t>
  </si>
  <si>
    <t>Master KG</t>
  </si>
  <si>
    <t>Mellow &amp; Sleazy</t>
  </si>
  <si>
    <t>Tman Xpress</t>
  </si>
  <si>
    <t>Mainstream, Amapiano</t>
  </si>
  <si>
    <t>Superstar, Amapiano</t>
  </si>
  <si>
    <t>Mainstream, Afro House</t>
  </si>
  <si>
    <t>Followers</t>
  </si>
  <si>
    <t>Streams</t>
  </si>
  <si>
    <t>Views</t>
  </si>
  <si>
    <t>Essam Sasa</t>
  </si>
  <si>
    <t>[Views/Streams]</t>
  </si>
  <si>
    <t>[Streams + Views] / [Followers]</t>
  </si>
  <si>
    <t>Population WB 2023</t>
  </si>
  <si>
    <t>Population WB (2023)</t>
  </si>
  <si>
    <t>[Followers/Population]</t>
  </si>
  <si>
    <t>Use GenAI to determine a method to scale the numbers</t>
  </si>
  <si>
    <t>Songstats metrics included for followers, streams, views, and top performing tracks by Jan 23, 2025</t>
  </si>
  <si>
    <t>Global Cultural Impact Index</t>
  </si>
  <si>
    <t>United States</t>
  </si>
  <si>
    <t>United Kingdom</t>
  </si>
  <si>
    <t>France</t>
  </si>
  <si>
    <t>Germany</t>
  </si>
  <si>
    <t>Canada</t>
  </si>
  <si>
    <t>Italy</t>
  </si>
  <si>
    <t>Bruno Mars</t>
  </si>
  <si>
    <t>Superstar, Pop</t>
  </si>
  <si>
    <t>Ed Sheeran</t>
  </si>
  <si>
    <t>David Guetta</t>
  </si>
  <si>
    <t>Legendary, Pop</t>
  </si>
  <si>
    <t>Superstar, EDM</t>
  </si>
  <si>
    <t>Robin Schulz</t>
  </si>
  <si>
    <t>The Weeknd</t>
  </si>
  <si>
    <t>Legendary, Hip-Hop/Rap</t>
  </si>
  <si>
    <t>Maneskin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</si>
</sst>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08E65-A756-4FB4-ADA3-72BA2C8E9E58}">
  <dimension ref="A1:L61"/>
  <sheetViews>
    <sheetView tabSelected="1" topLeftCell="A12" workbookViewId="0">
      <selection activeCell="L6" sqref="L6:L61"/>
    </sheetView>
  </sheetViews>
  <sheetFormatPr defaultRowHeight="14.5" x14ac:dyDescent="0.35"/>
  <cols>
    <col min="1" max="1" width="27.1796875" customWidth="1"/>
    <col min="2" max="2" width="18" bestFit="1" customWidth="1"/>
    <col min="3" max="3" width="4.08984375" customWidth="1"/>
    <col min="4" max="4" width="4.54296875" customWidth="1"/>
    <col min="5" max="5" width="7.90625" customWidth="1"/>
    <col min="6" max="6" width="7.81640625" customWidth="1"/>
    <col min="7" max="7" width="7.90625" customWidth="1"/>
    <col min="8" max="8" width="5.6328125" customWidth="1"/>
    <col min="9" max="9" width="8.6328125" customWidth="1"/>
    <col min="10" max="10" width="5.6328125" customWidth="1"/>
    <col min="11" max="11" width="6.81640625" customWidth="1"/>
    <col min="12" max="12" width="15.6328125" customWidth="1"/>
  </cols>
  <sheetData>
    <row r="1" spans="1:12" x14ac:dyDescent="0.35">
      <c r="A1" t="s">
        <v>9</v>
      </c>
    </row>
    <row r="2" spans="1:12" x14ac:dyDescent="0.35">
      <c r="A2" t="s">
        <v>86</v>
      </c>
    </row>
    <row r="3" spans="1:12" x14ac:dyDescent="0.35">
      <c r="A3" t="s">
        <v>82</v>
      </c>
    </row>
    <row r="4" spans="1:12" x14ac:dyDescent="0.35">
      <c r="A4" t="s">
        <v>85</v>
      </c>
    </row>
    <row r="5" spans="1:12" x14ac:dyDescent="0.35">
      <c r="A5" t="s">
        <v>1</v>
      </c>
      <c r="B5" t="s">
        <v>4</v>
      </c>
      <c r="C5" t="s">
        <v>2</v>
      </c>
      <c r="D5" t="s">
        <v>3</v>
      </c>
      <c r="E5" t="s">
        <v>76</v>
      </c>
      <c r="F5" t="s">
        <v>77</v>
      </c>
      <c r="G5" t="s">
        <v>78</v>
      </c>
      <c r="H5" t="s">
        <v>80</v>
      </c>
      <c r="I5" t="s">
        <v>81</v>
      </c>
      <c r="J5" t="s">
        <v>83</v>
      </c>
      <c r="K5" t="s">
        <v>84</v>
      </c>
      <c r="L5" t="s">
        <v>87</v>
      </c>
    </row>
    <row r="6" spans="1:12" x14ac:dyDescent="0.35">
      <c r="A6" t="s">
        <v>0</v>
      </c>
      <c r="B6" t="s">
        <v>5</v>
      </c>
      <c r="C6">
        <v>1</v>
      </c>
      <c r="D6" t="s">
        <v>15</v>
      </c>
      <c r="E6" s="1">
        <v>84900000</v>
      </c>
      <c r="F6" s="1">
        <v>1200000000</v>
      </c>
      <c r="G6" s="1">
        <v>5220000000</v>
      </c>
      <c r="H6">
        <f t="shared" ref="H6:H37" si="0">G6/F6</f>
        <v>4.3499999999999996</v>
      </c>
      <c r="I6">
        <f t="shared" ref="I6:I37" si="1">(F6+G6)/E6</f>
        <v>75.618374558303884</v>
      </c>
      <c r="J6" s="2">
        <v>114535770</v>
      </c>
      <c r="K6">
        <f t="shared" ref="K6:K37" si="2">E6/J6</f>
        <v>0.74125314737919867</v>
      </c>
      <c r="L6">
        <f>((LOG(E6)*0.25)+(LOG(F6)*0.35)+(LOG(G6)*0.25)+((LOG(K6))*0.15))</f>
        <v>7.5698529669884245</v>
      </c>
    </row>
    <row r="7" spans="1:12" x14ac:dyDescent="0.35">
      <c r="A7" t="s">
        <v>0</v>
      </c>
      <c r="B7" t="s">
        <v>6</v>
      </c>
      <c r="C7">
        <v>2</v>
      </c>
      <c r="D7" t="s">
        <v>16</v>
      </c>
      <c r="E7" s="1">
        <v>51000000</v>
      </c>
      <c r="F7" s="1">
        <v>502000000</v>
      </c>
      <c r="G7" s="1">
        <v>406000000</v>
      </c>
      <c r="H7">
        <f t="shared" si="0"/>
        <v>0.80876494023904377</v>
      </c>
      <c r="I7">
        <f t="shared" si="1"/>
        <v>17.803921568627452</v>
      </c>
      <c r="J7" s="2">
        <v>114535770</v>
      </c>
      <c r="K7">
        <f t="shared" si="2"/>
        <v>0.44527574224192146</v>
      </c>
      <c r="L7">
        <f t="shared" ref="L7:L61" si="3">((LOG(E7)*0.25)+(LOG(F7)*0.35)+(LOG(G7)*0.25)+((LOG(K7))*0.15))</f>
        <v>7.0715647088578395</v>
      </c>
    </row>
    <row r="8" spans="1:12" x14ac:dyDescent="0.35">
      <c r="A8" t="s">
        <v>0</v>
      </c>
      <c r="B8" t="s">
        <v>7</v>
      </c>
      <c r="C8">
        <v>3</v>
      </c>
      <c r="D8" t="s">
        <v>15</v>
      </c>
      <c r="E8" s="1">
        <v>13300000</v>
      </c>
      <c r="F8" s="1">
        <v>282000000</v>
      </c>
      <c r="G8" s="1">
        <v>294000000</v>
      </c>
      <c r="H8">
        <f t="shared" si="0"/>
        <v>1.0425531914893618</v>
      </c>
      <c r="I8">
        <f t="shared" si="1"/>
        <v>43.308270676691727</v>
      </c>
      <c r="J8" s="2">
        <v>114535770</v>
      </c>
      <c r="K8">
        <f t="shared" si="2"/>
        <v>0.11612092885916775</v>
      </c>
      <c r="L8">
        <f t="shared" si="3"/>
        <v>6.7153735059252586</v>
      </c>
    </row>
    <row r="9" spans="1:12" x14ac:dyDescent="0.35">
      <c r="A9" t="s">
        <v>0</v>
      </c>
      <c r="B9" t="s">
        <v>8</v>
      </c>
      <c r="C9">
        <v>4</v>
      </c>
      <c r="D9" t="s">
        <v>17</v>
      </c>
      <c r="E9" s="1">
        <v>14900000</v>
      </c>
      <c r="F9" s="1">
        <v>594000000</v>
      </c>
      <c r="G9" s="1">
        <v>722000000</v>
      </c>
      <c r="H9">
        <f t="shared" si="0"/>
        <v>1.2154882154882154</v>
      </c>
      <c r="I9">
        <f t="shared" si="1"/>
        <v>88.322147651006716</v>
      </c>
      <c r="J9" s="2">
        <v>114535770</v>
      </c>
      <c r="K9">
        <f t="shared" si="2"/>
        <v>0.1300903639098947</v>
      </c>
      <c r="L9">
        <f t="shared" si="3"/>
        <v>6.9458928915243456</v>
      </c>
    </row>
    <row r="10" spans="1:12" x14ac:dyDescent="0.35">
      <c r="A10" t="s">
        <v>0</v>
      </c>
      <c r="B10" t="s">
        <v>10</v>
      </c>
      <c r="C10">
        <v>5</v>
      </c>
      <c r="D10" t="s">
        <v>16</v>
      </c>
      <c r="E10" s="1">
        <v>62000000</v>
      </c>
      <c r="F10" s="1">
        <v>476000000</v>
      </c>
      <c r="G10" s="1">
        <v>1640000000</v>
      </c>
      <c r="H10">
        <f t="shared" si="0"/>
        <v>3.4453781512605044</v>
      </c>
      <c r="I10">
        <f t="shared" si="1"/>
        <v>34.12903225806452</v>
      </c>
      <c r="J10" s="2">
        <v>114535770</v>
      </c>
      <c r="K10">
        <f t="shared" si="2"/>
        <v>0.54131560821566926</v>
      </c>
      <c r="L10">
        <f t="shared" si="3"/>
        <v>7.2489889002870074</v>
      </c>
    </row>
    <row r="11" spans="1:12" x14ac:dyDescent="0.35">
      <c r="A11" t="s">
        <v>0</v>
      </c>
      <c r="B11" t="s">
        <v>11</v>
      </c>
      <c r="C11">
        <v>6</v>
      </c>
      <c r="D11" t="s">
        <v>16</v>
      </c>
      <c r="E11" s="1">
        <v>43900000</v>
      </c>
      <c r="F11" s="1">
        <v>637000000</v>
      </c>
      <c r="G11" s="1">
        <v>3090000000</v>
      </c>
      <c r="H11">
        <f t="shared" si="0"/>
        <v>4.8508634222919937</v>
      </c>
      <c r="I11">
        <f t="shared" si="1"/>
        <v>84.897494305239178</v>
      </c>
      <c r="J11" s="2">
        <v>114535770</v>
      </c>
      <c r="K11">
        <f t="shared" si="2"/>
        <v>0.3832863742043206</v>
      </c>
      <c r="L11">
        <f t="shared" si="3"/>
        <v>7.3020830582940386</v>
      </c>
    </row>
    <row r="12" spans="1:12" x14ac:dyDescent="0.35">
      <c r="A12" t="s">
        <v>0</v>
      </c>
      <c r="B12" t="s">
        <v>12</v>
      </c>
      <c r="C12">
        <v>7</v>
      </c>
      <c r="D12" t="s">
        <v>18</v>
      </c>
      <c r="E12" s="1">
        <v>16900000</v>
      </c>
      <c r="F12" s="1">
        <v>604000000</v>
      </c>
      <c r="G12" s="1">
        <v>9380000000</v>
      </c>
      <c r="H12">
        <f t="shared" si="0"/>
        <v>15.52980132450331</v>
      </c>
      <c r="I12">
        <f t="shared" si="1"/>
        <v>590.76923076923072</v>
      </c>
      <c r="J12" s="2">
        <v>114535770</v>
      </c>
      <c r="K12">
        <f t="shared" si="2"/>
        <v>0.14755215772330338</v>
      </c>
      <c r="L12">
        <f t="shared" si="3"/>
        <v>7.2487271489812404</v>
      </c>
    </row>
    <row r="13" spans="1:12" x14ac:dyDescent="0.35">
      <c r="A13" t="s">
        <v>0</v>
      </c>
      <c r="B13" t="s">
        <v>79</v>
      </c>
      <c r="C13">
        <v>8</v>
      </c>
      <c r="D13" t="s">
        <v>19</v>
      </c>
      <c r="E13" s="1">
        <v>11900000</v>
      </c>
      <c r="F13" s="1">
        <v>444000000</v>
      </c>
      <c r="G13" s="1">
        <v>130000000</v>
      </c>
      <c r="H13">
        <f t="shared" si="0"/>
        <v>0.2927927927927928</v>
      </c>
      <c r="I13">
        <f t="shared" si="1"/>
        <v>48.235294117647058</v>
      </c>
      <c r="J13" s="2">
        <v>114535770</v>
      </c>
      <c r="K13">
        <f t="shared" si="2"/>
        <v>0.10389767318978167</v>
      </c>
      <c r="L13">
        <f t="shared" si="3"/>
        <v>6.6764474911974476</v>
      </c>
    </row>
    <row r="14" spans="1:12" x14ac:dyDescent="0.35">
      <c r="A14" t="s">
        <v>0</v>
      </c>
      <c r="B14" t="s">
        <v>13</v>
      </c>
      <c r="C14">
        <v>9</v>
      </c>
      <c r="D14" t="s">
        <v>18</v>
      </c>
      <c r="E14" s="1">
        <v>46100000</v>
      </c>
      <c r="F14" s="1">
        <v>363000000</v>
      </c>
      <c r="G14" s="1">
        <v>2060000000</v>
      </c>
      <c r="H14">
        <f t="shared" si="0"/>
        <v>5.6749311294765841</v>
      </c>
      <c r="I14">
        <f t="shared" si="1"/>
        <v>52.559652928416483</v>
      </c>
      <c r="J14" s="2">
        <v>114535770</v>
      </c>
      <c r="K14">
        <f t="shared" si="2"/>
        <v>0.4024943473990702</v>
      </c>
      <c r="L14">
        <f t="shared" si="3"/>
        <v>7.1810733230343962</v>
      </c>
    </row>
    <row r="15" spans="1:12" x14ac:dyDescent="0.35">
      <c r="A15" t="s">
        <v>0</v>
      </c>
      <c r="B15" t="s">
        <v>14</v>
      </c>
      <c r="C15">
        <v>10</v>
      </c>
      <c r="D15" t="s">
        <v>18</v>
      </c>
      <c r="E15" s="1">
        <v>14200000</v>
      </c>
      <c r="F15" s="1">
        <v>316000000</v>
      </c>
      <c r="G15" s="1">
        <v>607000000</v>
      </c>
      <c r="H15">
        <f t="shared" si="0"/>
        <v>1.9208860759493671</v>
      </c>
      <c r="I15">
        <f t="shared" si="1"/>
        <v>65</v>
      </c>
      <c r="J15" s="2">
        <v>114535770</v>
      </c>
      <c r="K15">
        <f t="shared" si="2"/>
        <v>0.12397873607520166</v>
      </c>
      <c r="L15">
        <f t="shared" si="3"/>
        <v>6.8227618184620882</v>
      </c>
    </row>
    <row r="16" spans="1:12" x14ac:dyDescent="0.35">
      <c r="A16" t="s">
        <v>20</v>
      </c>
      <c r="B16" t="s">
        <v>21</v>
      </c>
      <c r="C16">
        <v>1</v>
      </c>
      <c r="D16" t="s">
        <v>31</v>
      </c>
      <c r="E16" s="1">
        <v>5400000</v>
      </c>
      <c r="F16" s="1">
        <v>612000000</v>
      </c>
      <c r="G16" s="1">
        <v>2290000000</v>
      </c>
      <c r="H16">
        <f t="shared" si="0"/>
        <v>3.7418300653594772</v>
      </c>
      <c r="I16">
        <f t="shared" si="1"/>
        <v>537.40740740740739</v>
      </c>
      <c r="J16" s="2">
        <v>33787910</v>
      </c>
      <c r="K16">
        <f t="shared" si="2"/>
        <v>0.15982048016583447</v>
      </c>
      <c r="L16">
        <f t="shared" si="3"/>
        <v>6.9789651729611641</v>
      </c>
    </row>
    <row r="17" spans="1:12" x14ac:dyDescent="0.35">
      <c r="A17" t="s">
        <v>20</v>
      </c>
      <c r="B17" t="s">
        <v>22</v>
      </c>
      <c r="C17">
        <v>2</v>
      </c>
      <c r="D17" t="s">
        <v>31</v>
      </c>
      <c r="E17" s="1">
        <v>606000</v>
      </c>
      <c r="F17" s="1">
        <v>672000000</v>
      </c>
      <c r="G17" s="1">
        <v>21200000000</v>
      </c>
      <c r="H17">
        <f t="shared" si="0"/>
        <v>31.547619047619047</v>
      </c>
      <c r="I17">
        <f t="shared" si="1"/>
        <v>36092.409240924091</v>
      </c>
      <c r="J17" s="2">
        <v>33787910</v>
      </c>
      <c r="K17">
        <f t="shared" si="2"/>
        <v>1.7935409440832533E-2</v>
      </c>
      <c r="L17">
        <f t="shared" si="3"/>
        <v>6.8548380611635995</v>
      </c>
    </row>
    <row r="18" spans="1:12" x14ac:dyDescent="0.35">
      <c r="A18" t="s">
        <v>20</v>
      </c>
      <c r="B18" t="s">
        <v>23</v>
      </c>
      <c r="C18">
        <v>3</v>
      </c>
      <c r="D18" t="s">
        <v>31</v>
      </c>
      <c r="E18" s="1">
        <v>5950000</v>
      </c>
      <c r="F18" s="1">
        <v>730000000</v>
      </c>
      <c r="G18" s="1">
        <v>4070000000</v>
      </c>
      <c r="H18">
        <f t="shared" si="0"/>
        <v>5.5753424657534243</v>
      </c>
      <c r="I18">
        <f t="shared" si="1"/>
        <v>806.72268907563023</v>
      </c>
      <c r="J18" s="2">
        <v>33787910</v>
      </c>
      <c r="K18">
        <f t="shared" si="2"/>
        <v>0.17609849203457686</v>
      </c>
      <c r="L18">
        <f t="shared" si="3"/>
        <v>7.0850541903359439</v>
      </c>
    </row>
    <row r="19" spans="1:12" x14ac:dyDescent="0.35">
      <c r="A19" t="s">
        <v>20</v>
      </c>
      <c r="B19" t="s">
        <v>24</v>
      </c>
      <c r="C19">
        <v>4</v>
      </c>
      <c r="D19" t="s">
        <v>32</v>
      </c>
      <c r="E19" s="1">
        <v>2420000</v>
      </c>
      <c r="F19" s="1">
        <v>1300000000</v>
      </c>
      <c r="G19" s="1">
        <v>22500000000</v>
      </c>
      <c r="H19">
        <f t="shared" si="0"/>
        <v>17.307692307692307</v>
      </c>
      <c r="I19">
        <f t="shared" si="1"/>
        <v>9834.7107438016537</v>
      </c>
      <c r="J19" s="2">
        <v>33787910</v>
      </c>
      <c r="K19">
        <f t="shared" si="2"/>
        <v>7.1623252222466557E-2</v>
      </c>
      <c r="L19">
        <f t="shared" si="3"/>
        <v>7.202137749923466</v>
      </c>
    </row>
    <row r="20" spans="1:12" x14ac:dyDescent="0.35">
      <c r="A20" t="s">
        <v>20</v>
      </c>
      <c r="B20" t="s">
        <v>25</v>
      </c>
      <c r="C20">
        <v>5</v>
      </c>
      <c r="D20" t="s">
        <v>31</v>
      </c>
      <c r="E20" s="1">
        <v>13400000</v>
      </c>
      <c r="F20" s="1">
        <v>541000000</v>
      </c>
      <c r="G20" s="1">
        <v>1210000000</v>
      </c>
      <c r="H20">
        <f t="shared" si="0"/>
        <v>2.2365988909426986</v>
      </c>
      <c r="I20">
        <f t="shared" si="1"/>
        <v>130.67164179104478</v>
      </c>
      <c r="J20" s="2">
        <v>33787910</v>
      </c>
      <c r="K20">
        <f t="shared" si="2"/>
        <v>0.39659156189299666</v>
      </c>
      <c r="L20">
        <f t="shared" si="3"/>
        <v>7.0488431054083946</v>
      </c>
    </row>
    <row r="21" spans="1:12" x14ac:dyDescent="0.35">
      <c r="A21" t="s">
        <v>20</v>
      </c>
      <c r="B21" t="s">
        <v>26</v>
      </c>
      <c r="C21">
        <v>6</v>
      </c>
      <c r="D21" t="s">
        <v>31</v>
      </c>
      <c r="E21" s="1">
        <v>18500000</v>
      </c>
      <c r="F21" s="1">
        <v>779000000</v>
      </c>
      <c r="G21" s="1">
        <v>863000000</v>
      </c>
      <c r="H21">
        <f t="shared" si="0"/>
        <v>1.1078305519897305</v>
      </c>
      <c r="I21">
        <f t="shared" si="1"/>
        <v>88.756756756756758</v>
      </c>
      <c r="J21" s="2">
        <v>33787910</v>
      </c>
      <c r="K21">
        <f t="shared" si="2"/>
        <v>0.54753312649406249</v>
      </c>
      <c r="L21">
        <f t="shared" si="3"/>
        <v>7.1235953011714637</v>
      </c>
    </row>
    <row r="22" spans="1:12" x14ac:dyDescent="0.35">
      <c r="A22" t="s">
        <v>20</v>
      </c>
      <c r="B22" t="s">
        <v>27</v>
      </c>
      <c r="C22">
        <v>7</v>
      </c>
      <c r="D22" t="s">
        <v>31</v>
      </c>
      <c r="E22" s="1">
        <v>7260000</v>
      </c>
      <c r="F22" s="1">
        <v>455000000</v>
      </c>
      <c r="G22" s="1">
        <v>6080000000</v>
      </c>
      <c r="H22">
        <f t="shared" si="0"/>
        <v>13.362637362637363</v>
      </c>
      <c r="I22">
        <f t="shared" si="1"/>
        <v>900.13774104683193</v>
      </c>
      <c r="J22" s="2">
        <v>33787910</v>
      </c>
      <c r="K22">
        <f t="shared" si="2"/>
        <v>0.21486975666739966</v>
      </c>
      <c r="L22">
        <f t="shared" si="3"/>
        <v>7.0913403326242701</v>
      </c>
    </row>
    <row r="23" spans="1:12" x14ac:dyDescent="0.35">
      <c r="A23" t="s">
        <v>20</v>
      </c>
      <c r="B23" t="s">
        <v>28</v>
      </c>
      <c r="C23">
        <v>8</v>
      </c>
      <c r="D23" t="s">
        <v>31</v>
      </c>
      <c r="E23" s="1">
        <v>13000000</v>
      </c>
      <c r="F23" s="1">
        <v>440000000</v>
      </c>
      <c r="G23" s="1">
        <v>1160000000</v>
      </c>
      <c r="H23">
        <f t="shared" si="0"/>
        <v>2.6363636363636362</v>
      </c>
      <c r="I23">
        <f t="shared" si="1"/>
        <v>123.07692307692308</v>
      </c>
      <c r="J23" s="2">
        <v>33787910</v>
      </c>
      <c r="K23">
        <f t="shared" si="2"/>
        <v>0.38475300780663851</v>
      </c>
      <c r="L23">
        <f t="shared" si="3"/>
        <v>7.0075860756956887</v>
      </c>
    </row>
    <row r="24" spans="1:12" x14ac:dyDescent="0.35">
      <c r="A24" t="s">
        <v>20</v>
      </c>
      <c r="B24" t="s">
        <v>29</v>
      </c>
      <c r="C24">
        <v>9</v>
      </c>
      <c r="D24" t="s">
        <v>33</v>
      </c>
      <c r="E24" s="1">
        <v>1560000</v>
      </c>
      <c r="F24" s="1">
        <v>38100000</v>
      </c>
      <c r="G24" s="1">
        <v>71900000</v>
      </c>
      <c r="H24">
        <f t="shared" si="0"/>
        <v>1.8871391076115485</v>
      </c>
      <c r="I24">
        <f t="shared" si="1"/>
        <v>70.512820512820511</v>
      </c>
      <c r="J24" s="2">
        <v>33787910</v>
      </c>
      <c r="K24">
        <f t="shared" si="2"/>
        <v>4.617036093679662E-2</v>
      </c>
      <c r="L24">
        <f t="shared" si="3"/>
        <v>5.9654416041200307</v>
      </c>
    </row>
    <row r="25" spans="1:12" x14ac:dyDescent="0.35">
      <c r="A25" t="s">
        <v>20</v>
      </c>
      <c r="B25" t="s">
        <v>30</v>
      </c>
      <c r="C25">
        <v>10</v>
      </c>
      <c r="D25" t="s">
        <v>31</v>
      </c>
      <c r="E25" s="1">
        <v>2840000</v>
      </c>
      <c r="F25" s="1">
        <v>174000000</v>
      </c>
      <c r="G25" s="1">
        <v>142000000</v>
      </c>
      <c r="H25">
        <f t="shared" si="0"/>
        <v>0.81609195402298851</v>
      </c>
      <c r="I25">
        <f t="shared" si="1"/>
        <v>111.26760563380282</v>
      </c>
      <c r="J25" s="2">
        <v>33787910</v>
      </c>
      <c r="K25">
        <f t="shared" si="2"/>
        <v>8.4053734013142575E-2</v>
      </c>
      <c r="L25">
        <f t="shared" si="3"/>
        <v>6.374277459709548</v>
      </c>
    </row>
    <row r="26" spans="1:12" x14ac:dyDescent="0.35">
      <c r="A26" t="s">
        <v>34</v>
      </c>
      <c r="B26" t="s">
        <v>35</v>
      </c>
      <c r="C26">
        <v>1</v>
      </c>
      <c r="D26" t="s">
        <v>45</v>
      </c>
      <c r="E26" s="1">
        <v>170000</v>
      </c>
      <c r="F26" s="1">
        <v>602000000</v>
      </c>
      <c r="G26" s="1">
        <v>1320000000</v>
      </c>
      <c r="H26">
        <f t="shared" si="0"/>
        <v>2.1926910299003324</v>
      </c>
      <c r="I26">
        <f t="shared" si="1"/>
        <v>11305.882352941177</v>
      </c>
      <c r="J26" s="2">
        <v>55339000</v>
      </c>
      <c r="K26">
        <f t="shared" si="2"/>
        <v>3.0719745568224942E-3</v>
      </c>
      <c r="L26">
        <f t="shared" si="3"/>
        <v>6.2837271272453981</v>
      </c>
    </row>
    <row r="27" spans="1:12" x14ac:dyDescent="0.35">
      <c r="A27" t="s">
        <v>34</v>
      </c>
      <c r="B27" t="s">
        <v>37</v>
      </c>
      <c r="C27">
        <v>2</v>
      </c>
      <c r="D27" t="s">
        <v>46</v>
      </c>
      <c r="E27" s="1">
        <v>66300</v>
      </c>
      <c r="F27" s="1">
        <v>7060000</v>
      </c>
      <c r="G27" s="1">
        <v>8440000</v>
      </c>
      <c r="H27">
        <f t="shared" si="0"/>
        <v>1.1954674220963173</v>
      </c>
      <c r="I27">
        <f t="shared" si="1"/>
        <v>233.78582202111613</v>
      </c>
      <c r="J27" s="2">
        <v>55339000</v>
      </c>
      <c r="K27">
        <f t="shared" si="2"/>
        <v>1.1980700771607726E-3</v>
      </c>
      <c r="L27">
        <f t="shared" si="3"/>
        <v>4.8958179723388415</v>
      </c>
    </row>
    <row r="28" spans="1:12" x14ac:dyDescent="0.35">
      <c r="A28" t="s">
        <v>34</v>
      </c>
      <c r="B28" t="s">
        <v>36</v>
      </c>
      <c r="C28">
        <v>3</v>
      </c>
      <c r="D28" t="s">
        <v>47</v>
      </c>
      <c r="E28" s="1">
        <v>3190000</v>
      </c>
      <c r="F28" s="1">
        <v>179000000</v>
      </c>
      <c r="G28" s="1">
        <v>335000000</v>
      </c>
      <c r="H28">
        <f t="shared" si="0"/>
        <v>1.8715083798882681</v>
      </c>
      <c r="I28">
        <f t="shared" si="1"/>
        <v>161.12852664576803</v>
      </c>
      <c r="J28" s="2">
        <v>55339000</v>
      </c>
      <c r="K28">
        <f t="shared" si="2"/>
        <v>5.7644699036845624E-2</v>
      </c>
      <c r="L28">
        <f t="shared" si="3"/>
        <v>6.4598213397774336</v>
      </c>
    </row>
    <row r="29" spans="1:12" x14ac:dyDescent="0.35">
      <c r="A29" t="s">
        <v>34</v>
      </c>
      <c r="B29" t="s">
        <v>38</v>
      </c>
      <c r="C29">
        <v>4</v>
      </c>
      <c r="D29" t="s">
        <v>33</v>
      </c>
      <c r="E29" s="1">
        <v>3970000</v>
      </c>
      <c r="F29" s="1">
        <v>44000000</v>
      </c>
      <c r="G29" s="1">
        <v>53400000</v>
      </c>
      <c r="H29">
        <f t="shared" si="0"/>
        <v>1.2136363636363636</v>
      </c>
      <c r="I29">
        <f t="shared" si="1"/>
        <v>24.534005037783377</v>
      </c>
      <c r="J29" s="2">
        <v>55339000</v>
      </c>
      <c r="K29">
        <f t="shared" si="2"/>
        <v>7.1739641121090006E-2</v>
      </c>
      <c r="L29">
        <f t="shared" si="3"/>
        <v>6.0851552576849377</v>
      </c>
    </row>
    <row r="30" spans="1:12" x14ac:dyDescent="0.35">
      <c r="A30" t="s">
        <v>34</v>
      </c>
      <c r="B30" t="s">
        <v>39</v>
      </c>
      <c r="C30">
        <v>5</v>
      </c>
      <c r="D30" t="s">
        <v>47</v>
      </c>
      <c r="E30" s="1">
        <v>1530000</v>
      </c>
      <c r="F30" s="1">
        <v>128000000</v>
      </c>
      <c r="G30" s="1">
        <v>594000000</v>
      </c>
      <c r="H30">
        <f t="shared" si="0"/>
        <v>4.640625</v>
      </c>
      <c r="I30">
        <f t="shared" si="1"/>
        <v>471.89542483660131</v>
      </c>
      <c r="J30" s="2">
        <v>55339000</v>
      </c>
      <c r="K30">
        <f t="shared" si="2"/>
        <v>2.7647771011402447E-2</v>
      </c>
      <c r="L30">
        <f t="shared" si="3"/>
        <v>6.3433919769014793</v>
      </c>
    </row>
    <row r="31" spans="1:12" x14ac:dyDescent="0.35">
      <c r="A31" t="s">
        <v>34</v>
      </c>
      <c r="B31" t="s">
        <v>40</v>
      </c>
      <c r="C31">
        <v>6</v>
      </c>
      <c r="D31" t="s">
        <v>47</v>
      </c>
      <c r="E31" s="1">
        <v>7180000</v>
      </c>
      <c r="F31" s="1">
        <v>310000000</v>
      </c>
      <c r="G31" s="1">
        <v>233000000</v>
      </c>
      <c r="H31">
        <f t="shared" si="0"/>
        <v>0.75161290322580643</v>
      </c>
      <c r="I31">
        <f t="shared" si="1"/>
        <v>75.626740947075206</v>
      </c>
      <c r="J31" s="2">
        <v>55339000</v>
      </c>
      <c r="K31">
        <f t="shared" si="2"/>
        <v>0.12974574892932653</v>
      </c>
      <c r="L31">
        <f t="shared" si="3"/>
        <v>6.6448106547478067</v>
      </c>
    </row>
    <row r="32" spans="1:12" x14ac:dyDescent="0.35">
      <c r="A32" t="s">
        <v>34</v>
      </c>
      <c r="B32" t="s">
        <v>41</v>
      </c>
      <c r="C32">
        <v>7</v>
      </c>
      <c r="D32" t="s">
        <v>33</v>
      </c>
      <c r="E32" s="1">
        <v>1610000</v>
      </c>
      <c r="F32" s="1">
        <v>89900000</v>
      </c>
      <c r="G32" s="1">
        <v>90300000</v>
      </c>
      <c r="H32">
        <f t="shared" si="0"/>
        <v>1.0044493882091212</v>
      </c>
      <c r="I32">
        <f t="shared" si="1"/>
        <v>111.92546583850931</v>
      </c>
      <c r="J32" s="2">
        <v>55339000</v>
      </c>
      <c r="K32">
        <f t="shared" si="2"/>
        <v>2.9093406096965972E-2</v>
      </c>
      <c r="L32">
        <f t="shared" si="3"/>
        <v>6.0940134840501337</v>
      </c>
    </row>
    <row r="33" spans="1:12" x14ac:dyDescent="0.35">
      <c r="A33" t="s">
        <v>34</v>
      </c>
      <c r="B33" t="s">
        <v>42</v>
      </c>
      <c r="C33">
        <v>8</v>
      </c>
      <c r="D33" t="s">
        <v>47</v>
      </c>
      <c r="E33" s="1">
        <v>2830000</v>
      </c>
      <c r="F33" s="1">
        <v>116000000</v>
      </c>
      <c r="G33" s="1">
        <v>379000000</v>
      </c>
      <c r="H33">
        <f t="shared" si="0"/>
        <v>3.2672413793103448</v>
      </c>
      <c r="I33">
        <f t="shared" si="1"/>
        <v>174.91166077738515</v>
      </c>
      <c r="J33" s="2">
        <v>55339000</v>
      </c>
      <c r="K33">
        <f t="shared" si="2"/>
        <v>5.1139341151809757E-2</v>
      </c>
      <c r="L33">
        <f t="shared" si="3"/>
        <v>6.3864799768835425</v>
      </c>
    </row>
    <row r="34" spans="1:12" x14ac:dyDescent="0.35">
      <c r="A34" t="s">
        <v>34</v>
      </c>
      <c r="B34" t="s">
        <v>43</v>
      </c>
      <c r="C34">
        <v>9</v>
      </c>
      <c r="D34" t="s">
        <v>48</v>
      </c>
      <c r="E34" s="1">
        <v>51100</v>
      </c>
      <c r="F34" s="1">
        <v>1270000</v>
      </c>
      <c r="G34" s="1">
        <v>1830000</v>
      </c>
      <c r="H34">
        <f t="shared" si="0"/>
        <v>1.4409448818897639</v>
      </c>
      <c r="I34">
        <f t="shared" si="1"/>
        <v>60.665362035225051</v>
      </c>
      <c r="J34" s="2">
        <v>55339000</v>
      </c>
      <c r="K34">
        <f t="shared" si="2"/>
        <v>9.2339941090370265E-4</v>
      </c>
      <c r="L34">
        <f t="shared" si="3"/>
        <v>4.4238577387734646</v>
      </c>
    </row>
    <row r="35" spans="1:12" x14ac:dyDescent="0.35">
      <c r="A35" t="s">
        <v>34</v>
      </c>
      <c r="B35" t="s">
        <v>44</v>
      </c>
      <c r="C35">
        <v>10</v>
      </c>
      <c r="D35" t="s">
        <v>33</v>
      </c>
      <c r="E35" s="1">
        <v>2100000</v>
      </c>
      <c r="F35" s="1">
        <v>120000000</v>
      </c>
      <c r="G35" s="1">
        <v>267000000</v>
      </c>
      <c r="H35">
        <f t="shared" si="0"/>
        <v>2.2250000000000001</v>
      </c>
      <c r="I35">
        <f t="shared" si="1"/>
        <v>184.28571428571428</v>
      </c>
      <c r="J35" s="2">
        <v>55339000</v>
      </c>
      <c r="K35">
        <f t="shared" si="2"/>
        <v>3.7947920996042571E-2</v>
      </c>
      <c r="L35">
        <f t="shared" si="3"/>
        <v>6.301774273303768</v>
      </c>
    </row>
    <row r="36" spans="1:12" x14ac:dyDescent="0.35">
      <c r="A36" t="s">
        <v>49</v>
      </c>
      <c r="B36" t="s">
        <v>50</v>
      </c>
      <c r="C36">
        <v>1</v>
      </c>
      <c r="D36" t="s">
        <v>60</v>
      </c>
      <c r="E36" s="1">
        <v>51400000</v>
      </c>
      <c r="F36" s="1">
        <v>11900000000</v>
      </c>
      <c r="G36" s="1">
        <v>17600000000</v>
      </c>
      <c r="H36">
        <f t="shared" si="0"/>
        <v>1.4789915966386555</v>
      </c>
      <c r="I36">
        <f t="shared" si="1"/>
        <v>573.92996108949421</v>
      </c>
      <c r="J36" s="2">
        <v>227882950</v>
      </c>
      <c r="K36">
        <f t="shared" si="2"/>
        <v>0.22555439097132979</v>
      </c>
      <c r="L36">
        <f t="shared" si="3"/>
        <v>7.9185480761087845</v>
      </c>
    </row>
    <row r="37" spans="1:12" x14ac:dyDescent="0.35">
      <c r="A37" t="s">
        <v>49</v>
      </c>
      <c r="B37" t="s">
        <v>51</v>
      </c>
      <c r="C37">
        <v>2</v>
      </c>
      <c r="D37" t="s">
        <v>60</v>
      </c>
      <c r="E37" s="1">
        <v>61700000</v>
      </c>
      <c r="F37" s="1">
        <v>12500000000</v>
      </c>
      <c r="G37" s="1">
        <v>21200000000</v>
      </c>
      <c r="H37">
        <f t="shared" si="0"/>
        <v>1.696</v>
      </c>
      <c r="I37">
        <f t="shared" si="1"/>
        <v>546.19124797406812</v>
      </c>
      <c r="J37" s="2">
        <v>227882950</v>
      </c>
      <c r="K37">
        <f t="shared" si="2"/>
        <v>0.27075303352005931</v>
      </c>
      <c r="L37">
        <f t="shared" si="3"/>
        <v>7.977959760468055</v>
      </c>
    </row>
    <row r="38" spans="1:12" x14ac:dyDescent="0.35">
      <c r="A38" t="s">
        <v>49</v>
      </c>
      <c r="B38" t="s">
        <v>52</v>
      </c>
      <c r="C38">
        <v>3</v>
      </c>
      <c r="D38" t="s">
        <v>60</v>
      </c>
      <c r="E38" s="1">
        <v>27000000</v>
      </c>
      <c r="F38" s="1">
        <v>7990000000</v>
      </c>
      <c r="G38" s="1">
        <v>255000000000</v>
      </c>
      <c r="H38">
        <f t="shared" ref="H38:H69" si="4">G38/F38</f>
        <v>31.914893617021278</v>
      </c>
      <c r="I38">
        <f t="shared" ref="I38:I61" si="5">(F38+G38)/E38</f>
        <v>9740.3703703703704</v>
      </c>
      <c r="J38" s="2">
        <v>227882950</v>
      </c>
      <c r="K38">
        <f t="shared" ref="K38:K69" si="6">E38/J38</f>
        <v>0.11848187852579581</v>
      </c>
      <c r="L38">
        <f t="shared" si="3"/>
        <v>8.0364151486017334</v>
      </c>
    </row>
    <row r="39" spans="1:12" x14ac:dyDescent="0.35">
      <c r="A39" t="s">
        <v>49</v>
      </c>
      <c r="B39" t="s">
        <v>53</v>
      </c>
      <c r="C39">
        <v>4</v>
      </c>
      <c r="D39" t="s">
        <v>60</v>
      </c>
      <c r="E39" s="1">
        <v>22200000</v>
      </c>
      <c r="F39" s="1">
        <v>3690000000</v>
      </c>
      <c r="G39" s="1">
        <v>13400000000</v>
      </c>
      <c r="H39">
        <f t="shared" si="4"/>
        <v>3.6314363143631438</v>
      </c>
      <c r="I39">
        <f t="shared" si="5"/>
        <v>769.81981981981983</v>
      </c>
      <c r="J39" s="2">
        <v>227882950</v>
      </c>
      <c r="K39">
        <f t="shared" si="6"/>
        <v>9.7418433454543221E-2</v>
      </c>
      <c r="L39">
        <f t="shared" si="3"/>
        <v>7.5651198425968795</v>
      </c>
    </row>
    <row r="40" spans="1:12" x14ac:dyDescent="0.35">
      <c r="A40" t="s">
        <v>49</v>
      </c>
      <c r="B40" t="s">
        <v>54</v>
      </c>
      <c r="C40">
        <v>5</v>
      </c>
      <c r="D40" t="s">
        <v>60</v>
      </c>
      <c r="E40" s="1">
        <v>59300000</v>
      </c>
      <c r="F40" s="1">
        <v>5900000000</v>
      </c>
      <c r="G40" s="1">
        <v>18400000000</v>
      </c>
      <c r="H40">
        <f t="shared" si="4"/>
        <v>3.1186440677966103</v>
      </c>
      <c r="I40">
        <f t="shared" si="5"/>
        <v>409.78077571669479</v>
      </c>
      <c r="J40" s="2">
        <v>227882950</v>
      </c>
      <c r="K40">
        <f t="shared" si="6"/>
        <v>0.26022131098443302</v>
      </c>
      <c r="L40">
        <f t="shared" si="3"/>
        <v>7.8415677622425921</v>
      </c>
    </row>
    <row r="41" spans="1:12" x14ac:dyDescent="0.35">
      <c r="A41" t="s">
        <v>49</v>
      </c>
      <c r="B41" t="s">
        <v>55</v>
      </c>
      <c r="C41">
        <v>6</v>
      </c>
      <c r="D41" t="s">
        <v>60</v>
      </c>
      <c r="E41" s="1">
        <v>17000000</v>
      </c>
      <c r="F41" s="1">
        <v>3170000000</v>
      </c>
      <c r="G41" s="1">
        <v>9250000000</v>
      </c>
      <c r="H41">
        <f t="shared" si="4"/>
        <v>2.9179810725552051</v>
      </c>
      <c r="I41">
        <f t="shared" si="5"/>
        <v>730.58823529411768</v>
      </c>
      <c r="J41" s="2">
        <v>227882950</v>
      </c>
      <c r="K41">
        <f t="shared" si="6"/>
        <v>7.4599701294019577E-2</v>
      </c>
      <c r="L41">
        <f t="shared" si="3"/>
        <v>7.4554289685820319</v>
      </c>
    </row>
    <row r="42" spans="1:12" x14ac:dyDescent="0.35">
      <c r="A42" t="s">
        <v>49</v>
      </c>
      <c r="B42" t="s">
        <v>56</v>
      </c>
      <c r="C42">
        <v>7</v>
      </c>
      <c r="D42" t="s">
        <v>61</v>
      </c>
      <c r="E42" s="1">
        <v>13400000</v>
      </c>
      <c r="F42" s="1">
        <v>5240000000</v>
      </c>
      <c r="G42" s="1">
        <v>13000000000</v>
      </c>
      <c r="H42">
        <f t="shared" si="4"/>
        <v>2.4809160305343512</v>
      </c>
      <c r="I42">
        <f t="shared" si="5"/>
        <v>1361.1940298507463</v>
      </c>
      <c r="J42" s="2">
        <v>227882950</v>
      </c>
      <c r="K42">
        <f t="shared" si="6"/>
        <v>5.880211749058014E-2</v>
      </c>
      <c r="L42">
        <f t="shared" si="3"/>
        <v>7.5274369329366877</v>
      </c>
    </row>
    <row r="43" spans="1:12" x14ac:dyDescent="0.35">
      <c r="A43" t="s">
        <v>49</v>
      </c>
      <c r="B43" t="s">
        <v>57</v>
      </c>
      <c r="C43">
        <v>8</v>
      </c>
      <c r="D43" t="s">
        <v>60</v>
      </c>
      <c r="E43" s="1">
        <v>20000000</v>
      </c>
      <c r="F43" s="1">
        <v>3190000000</v>
      </c>
      <c r="G43" s="1">
        <v>5650000000</v>
      </c>
      <c r="H43">
        <f t="shared" si="4"/>
        <v>1.7711598746081505</v>
      </c>
      <c r="I43">
        <f t="shared" si="5"/>
        <v>442</v>
      </c>
      <c r="J43" s="2">
        <v>227882950</v>
      </c>
      <c r="K43">
        <f t="shared" si="6"/>
        <v>8.7764354463552449E-2</v>
      </c>
      <c r="L43">
        <f t="shared" si="3"/>
        <v>7.4310940743602165</v>
      </c>
    </row>
    <row r="44" spans="1:12" x14ac:dyDescent="0.35">
      <c r="A44" t="s">
        <v>49</v>
      </c>
      <c r="B44" t="s">
        <v>58</v>
      </c>
      <c r="C44">
        <v>9</v>
      </c>
      <c r="D44" t="s">
        <v>60</v>
      </c>
      <c r="E44" s="1">
        <v>12400000</v>
      </c>
      <c r="F44" s="1">
        <v>2850000000</v>
      </c>
      <c r="G44" s="1">
        <v>9370000000</v>
      </c>
      <c r="H44">
        <f t="shared" si="4"/>
        <v>3.287719298245614</v>
      </c>
      <c r="I44">
        <f t="shared" si="5"/>
        <v>985.48387096774195</v>
      </c>
      <c r="J44" s="2">
        <v>227882950</v>
      </c>
      <c r="K44">
        <f t="shared" si="6"/>
        <v>5.4413899767402518E-2</v>
      </c>
      <c r="L44">
        <f t="shared" si="3"/>
        <v>7.385842497859568</v>
      </c>
    </row>
    <row r="45" spans="1:12" x14ac:dyDescent="0.35">
      <c r="A45" t="s">
        <v>49</v>
      </c>
      <c r="B45" t="s">
        <v>59</v>
      </c>
      <c r="C45">
        <v>10</v>
      </c>
      <c r="D45" t="s">
        <v>60</v>
      </c>
      <c r="E45" s="1">
        <v>26400000</v>
      </c>
      <c r="F45" s="1">
        <v>2620000000</v>
      </c>
      <c r="G45" s="1">
        <v>14900000000</v>
      </c>
      <c r="H45">
        <f t="shared" si="4"/>
        <v>5.6870229007633588</v>
      </c>
      <c r="I45">
        <f t="shared" si="5"/>
        <v>663.63636363636363</v>
      </c>
      <c r="J45" s="2">
        <v>227882950</v>
      </c>
      <c r="K45">
        <f t="shared" si="6"/>
        <v>0.11584894789188924</v>
      </c>
      <c r="L45">
        <f t="shared" si="3"/>
        <v>7.5546868148826629</v>
      </c>
    </row>
    <row r="46" spans="1:12" x14ac:dyDescent="0.35">
      <c r="A46" t="s">
        <v>62</v>
      </c>
      <c r="B46" t="s">
        <v>63</v>
      </c>
      <c r="C46">
        <v>1</v>
      </c>
      <c r="D46" t="s">
        <v>61</v>
      </c>
      <c r="E46" s="1">
        <v>26000000</v>
      </c>
      <c r="F46" s="1">
        <v>2680000000</v>
      </c>
      <c r="G46" s="1">
        <v>61600000000</v>
      </c>
      <c r="H46">
        <f t="shared" si="4"/>
        <v>22.985074626865671</v>
      </c>
      <c r="I46">
        <f t="shared" si="5"/>
        <v>2472.3076923076924</v>
      </c>
      <c r="J46" s="2">
        <v>63212380</v>
      </c>
      <c r="K46">
        <f t="shared" si="6"/>
        <v>0.41131183480198025</v>
      </c>
      <c r="L46">
        <f t="shared" si="3"/>
        <v>7.7931113738105449</v>
      </c>
    </row>
    <row r="47" spans="1:12" x14ac:dyDescent="0.35">
      <c r="A47" t="s">
        <v>62</v>
      </c>
      <c r="B47" t="s">
        <v>64</v>
      </c>
      <c r="C47">
        <v>2</v>
      </c>
      <c r="D47" t="s">
        <v>73</v>
      </c>
      <c r="E47" s="1">
        <v>1120000</v>
      </c>
      <c r="F47" s="1">
        <v>156000000</v>
      </c>
      <c r="G47" s="1">
        <v>404000000</v>
      </c>
      <c r="H47">
        <f t="shared" si="4"/>
        <v>2.5897435897435899</v>
      </c>
      <c r="I47">
        <f t="shared" si="5"/>
        <v>500</v>
      </c>
      <c r="J47" s="2">
        <v>63212380</v>
      </c>
      <c r="K47">
        <f t="shared" si="6"/>
        <v>1.7718048268392995E-2</v>
      </c>
      <c r="L47">
        <f t="shared" si="3"/>
        <v>6.2687558384408195</v>
      </c>
    </row>
    <row r="48" spans="1:12" x14ac:dyDescent="0.35">
      <c r="A48" t="s">
        <v>62</v>
      </c>
      <c r="B48" t="s">
        <v>65</v>
      </c>
      <c r="C48">
        <v>3</v>
      </c>
      <c r="D48" t="s">
        <v>74</v>
      </c>
      <c r="E48" s="1">
        <v>6690000</v>
      </c>
      <c r="F48" s="1">
        <v>2040000000</v>
      </c>
      <c r="G48" s="1">
        <v>4950000000</v>
      </c>
      <c r="H48">
        <f t="shared" si="4"/>
        <v>2.4264705882352939</v>
      </c>
      <c r="I48">
        <f t="shared" si="5"/>
        <v>1044.8430493273543</v>
      </c>
      <c r="J48" s="2">
        <v>63212380</v>
      </c>
      <c r="K48">
        <f t="shared" si="6"/>
        <v>0.10583369903174031</v>
      </c>
      <c r="L48">
        <f t="shared" si="3"/>
        <v>7.2420719841106207</v>
      </c>
    </row>
    <row r="49" spans="1:12" x14ac:dyDescent="0.35">
      <c r="A49" t="s">
        <v>62</v>
      </c>
      <c r="B49" t="s">
        <v>66</v>
      </c>
      <c r="C49">
        <v>4</v>
      </c>
      <c r="D49" t="s">
        <v>73</v>
      </c>
      <c r="E49" s="1">
        <v>1230000</v>
      </c>
      <c r="F49" s="1">
        <v>237000000</v>
      </c>
      <c r="G49" s="1">
        <v>798000000</v>
      </c>
      <c r="H49">
        <f t="shared" si="4"/>
        <v>3.3670886075949369</v>
      </c>
      <c r="I49">
        <f t="shared" si="5"/>
        <v>841.46341463414637</v>
      </c>
      <c r="J49" s="2">
        <v>63212380</v>
      </c>
      <c r="K49">
        <f t="shared" si="6"/>
        <v>1.9458213723324451E-2</v>
      </c>
      <c r="L49">
        <f t="shared" si="3"/>
        <v>6.4225043671880124</v>
      </c>
    </row>
    <row r="50" spans="1:12" x14ac:dyDescent="0.35">
      <c r="A50" t="s">
        <v>62</v>
      </c>
      <c r="B50" t="s">
        <v>67</v>
      </c>
      <c r="C50">
        <v>5</v>
      </c>
      <c r="D50" t="s">
        <v>74</v>
      </c>
      <c r="E50" s="1">
        <v>13400000</v>
      </c>
      <c r="F50" s="1">
        <v>1900000000</v>
      </c>
      <c r="G50" s="1">
        <v>2660000000</v>
      </c>
      <c r="H50">
        <f t="shared" si="4"/>
        <v>1.4</v>
      </c>
      <c r="I50">
        <f t="shared" si="5"/>
        <v>340.29850746268659</v>
      </c>
      <c r="J50" s="2">
        <v>63212380</v>
      </c>
      <c r="K50">
        <f t="shared" si="6"/>
        <v>0.21198379178255905</v>
      </c>
      <c r="L50">
        <f t="shared" si="3"/>
        <v>7.2845057675082137</v>
      </c>
    </row>
    <row r="51" spans="1:12" x14ac:dyDescent="0.35">
      <c r="A51" t="s">
        <v>62</v>
      </c>
      <c r="B51" t="s">
        <v>68</v>
      </c>
      <c r="C51">
        <v>6</v>
      </c>
      <c r="D51" t="s">
        <v>75</v>
      </c>
      <c r="E51" s="1">
        <v>210000</v>
      </c>
      <c r="F51" s="1">
        <v>127000000</v>
      </c>
      <c r="G51" s="1">
        <v>205000000</v>
      </c>
      <c r="H51">
        <f t="shared" si="4"/>
        <v>1.6141732283464567</v>
      </c>
      <c r="I51">
        <f t="shared" si="5"/>
        <v>1580.952380952381</v>
      </c>
      <c r="J51" s="2">
        <v>63212380</v>
      </c>
      <c r="K51">
        <f t="shared" si="6"/>
        <v>3.3221340503236866E-3</v>
      </c>
      <c r="L51">
        <f t="shared" si="3"/>
        <v>5.8730371641631258</v>
      </c>
    </row>
    <row r="52" spans="1:12" x14ac:dyDescent="0.35">
      <c r="A52" t="s">
        <v>62</v>
      </c>
      <c r="B52" t="s">
        <v>69</v>
      </c>
      <c r="C52">
        <v>7</v>
      </c>
      <c r="D52" t="s">
        <v>31</v>
      </c>
      <c r="E52" s="1">
        <v>101000</v>
      </c>
      <c r="F52" s="1">
        <v>217000000</v>
      </c>
      <c r="G52" s="1">
        <v>1750000000</v>
      </c>
      <c r="H52">
        <f t="shared" si="4"/>
        <v>8.064516129032258</v>
      </c>
      <c r="I52">
        <f t="shared" si="5"/>
        <v>19475.247524752474</v>
      </c>
      <c r="J52" s="2">
        <v>63212380</v>
      </c>
      <c r="K52">
        <f t="shared" si="6"/>
        <v>1.597788281346154E-3</v>
      </c>
      <c r="L52">
        <f t="shared" si="3"/>
        <v>6.0601286472026494</v>
      </c>
    </row>
    <row r="53" spans="1:12" x14ac:dyDescent="0.35">
      <c r="A53" t="s">
        <v>62</v>
      </c>
      <c r="B53" t="s">
        <v>70</v>
      </c>
      <c r="C53">
        <v>8</v>
      </c>
      <c r="D53" t="s">
        <v>74</v>
      </c>
      <c r="E53" s="1">
        <v>4990000</v>
      </c>
      <c r="F53" s="1">
        <v>1150000000</v>
      </c>
      <c r="G53" s="1">
        <v>16200000000</v>
      </c>
      <c r="H53">
        <f t="shared" si="4"/>
        <v>14.086956521739131</v>
      </c>
      <c r="I53">
        <f t="shared" si="5"/>
        <v>3476.9539078156313</v>
      </c>
      <c r="J53" s="2">
        <v>63212380</v>
      </c>
      <c r="K53">
        <f t="shared" si="6"/>
        <v>7.8940232910072364E-2</v>
      </c>
      <c r="L53">
        <f t="shared" si="3"/>
        <v>7.2327428946798129</v>
      </c>
    </row>
    <row r="54" spans="1:12" x14ac:dyDescent="0.35">
      <c r="A54" t="s">
        <v>62</v>
      </c>
      <c r="B54" t="s">
        <v>71</v>
      </c>
      <c r="C54">
        <v>9</v>
      </c>
      <c r="D54" t="s">
        <v>73</v>
      </c>
      <c r="E54" s="1">
        <v>2950000</v>
      </c>
      <c r="F54" s="1">
        <v>423000000</v>
      </c>
      <c r="G54" s="1">
        <v>1400000000</v>
      </c>
      <c r="H54">
        <f t="shared" si="4"/>
        <v>3.3096926713947989</v>
      </c>
      <c r="I54">
        <f t="shared" si="5"/>
        <v>617.96610169491521</v>
      </c>
      <c r="J54" s="2">
        <v>63212380</v>
      </c>
      <c r="K54">
        <f t="shared" si="6"/>
        <v>4.6668073564070836E-2</v>
      </c>
      <c r="L54">
        <f t="shared" si="3"/>
        <v>6.7235596225631244</v>
      </c>
    </row>
    <row r="55" spans="1:12" x14ac:dyDescent="0.35">
      <c r="A55" t="s">
        <v>62</v>
      </c>
      <c r="B55" t="s">
        <v>72</v>
      </c>
      <c r="C55">
        <v>10</v>
      </c>
      <c r="D55" t="s">
        <v>73</v>
      </c>
      <c r="E55" s="1">
        <v>589000</v>
      </c>
      <c r="F55" s="1">
        <v>153000000</v>
      </c>
      <c r="G55" s="1">
        <v>208000000</v>
      </c>
      <c r="H55">
        <f t="shared" si="4"/>
        <v>1.3594771241830066</v>
      </c>
      <c r="I55">
        <f t="shared" si="5"/>
        <v>612.90322580645159</v>
      </c>
      <c r="J55" s="2">
        <v>63212380</v>
      </c>
      <c r="K55">
        <f t="shared" si="6"/>
        <v>9.3177950268602452E-3</v>
      </c>
      <c r="L55">
        <f t="shared" si="3"/>
        <v>6.0820836311127247</v>
      </c>
    </row>
    <row r="56" spans="1:12" x14ac:dyDescent="0.35">
      <c r="A56" t="s">
        <v>88</v>
      </c>
      <c r="B56" t="s">
        <v>94</v>
      </c>
      <c r="C56">
        <v>1</v>
      </c>
      <c r="D56" t="s">
        <v>95</v>
      </c>
      <c r="E56" s="1">
        <v>290000000</v>
      </c>
      <c r="F56" s="1">
        <v>78500000000</v>
      </c>
      <c r="G56" s="1">
        <v>317000000000</v>
      </c>
      <c r="H56">
        <f t="shared" si="4"/>
        <v>4.0382165605095546</v>
      </c>
      <c r="I56">
        <f t="shared" si="5"/>
        <v>1363.7931034482758</v>
      </c>
      <c r="J56" s="2">
        <v>334914900</v>
      </c>
      <c r="K56">
        <f t="shared" si="6"/>
        <v>0.8658916041059983</v>
      </c>
      <c r="L56">
        <f t="shared" si="3"/>
        <v>8.7946882241859647</v>
      </c>
    </row>
    <row r="57" spans="1:12" x14ac:dyDescent="0.35">
      <c r="A57" t="s">
        <v>89</v>
      </c>
      <c r="B57" t="s">
        <v>96</v>
      </c>
      <c r="C57">
        <v>1</v>
      </c>
      <c r="D57" t="s">
        <v>95</v>
      </c>
      <c r="E57" s="1">
        <v>323000000</v>
      </c>
      <c r="F57" s="1">
        <v>91100000000</v>
      </c>
      <c r="G57" s="1">
        <v>344000000000</v>
      </c>
      <c r="H57">
        <f t="shared" si="4"/>
        <v>3.7760702524698133</v>
      </c>
      <c r="I57">
        <f t="shared" si="5"/>
        <v>1347.0588235294117</v>
      </c>
      <c r="J57" s="2">
        <v>68350000</v>
      </c>
      <c r="K57">
        <f t="shared" si="6"/>
        <v>4.7256766642282368</v>
      </c>
      <c r="L57">
        <f t="shared" si="3"/>
        <v>8.948441273680297</v>
      </c>
    </row>
    <row r="58" spans="1:12" x14ac:dyDescent="0.35">
      <c r="A58" t="s">
        <v>90</v>
      </c>
      <c r="B58" t="s">
        <v>97</v>
      </c>
      <c r="C58">
        <v>1</v>
      </c>
      <c r="D58" t="s">
        <v>98</v>
      </c>
      <c r="E58" s="1">
        <v>172000000</v>
      </c>
      <c r="F58" s="1">
        <v>65400000000</v>
      </c>
      <c r="G58" s="1">
        <v>150000000000</v>
      </c>
      <c r="H58">
        <f t="shared" si="4"/>
        <v>2.2935779816513762</v>
      </c>
      <c r="I58">
        <f t="shared" si="5"/>
        <v>1252.3255813953488</v>
      </c>
      <c r="J58" s="2">
        <v>68287490</v>
      </c>
      <c r="K58">
        <f t="shared" si="6"/>
        <v>2.5187629535072968</v>
      </c>
      <c r="L58">
        <f t="shared" si="3"/>
        <v>8.6985352329517305</v>
      </c>
    </row>
    <row r="59" spans="1:12" x14ac:dyDescent="0.35">
      <c r="A59" t="s">
        <v>91</v>
      </c>
      <c r="B59" t="s">
        <v>100</v>
      </c>
      <c r="C59">
        <v>1</v>
      </c>
      <c r="D59" t="s">
        <v>99</v>
      </c>
      <c r="E59" s="1">
        <v>13300000</v>
      </c>
      <c r="F59" s="1">
        <v>19300000000</v>
      </c>
      <c r="G59" s="1">
        <v>283000000000</v>
      </c>
      <c r="H59">
        <f t="shared" si="4"/>
        <v>14.663212435233161</v>
      </c>
      <c r="I59">
        <f t="shared" si="5"/>
        <v>22729.323308270676</v>
      </c>
      <c r="J59" s="2">
        <v>83280000</v>
      </c>
      <c r="K59">
        <f t="shared" si="6"/>
        <v>0.15970220941402496</v>
      </c>
      <c r="L59">
        <f t="shared" si="3"/>
        <v>8.1243512159452553</v>
      </c>
    </row>
    <row r="60" spans="1:12" x14ac:dyDescent="0.35">
      <c r="A60" t="s">
        <v>92</v>
      </c>
      <c r="B60" t="s">
        <v>101</v>
      </c>
      <c r="C60">
        <v>1</v>
      </c>
      <c r="D60" t="s">
        <v>102</v>
      </c>
      <c r="E60" s="1">
        <v>303000000</v>
      </c>
      <c r="F60" s="1">
        <v>119000000000</v>
      </c>
      <c r="G60" s="1">
        <v>210000000000</v>
      </c>
      <c r="H60">
        <f t="shared" si="4"/>
        <v>1.7647058823529411</v>
      </c>
      <c r="I60">
        <f t="shared" si="5"/>
        <v>1085.8085808580859</v>
      </c>
      <c r="J60" s="2">
        <v>40097760</v>
      </c>
      <c r="K60">
        <f t="shared" si="6"/>
        <v>7.5565318361923461</v>
      </c>
      <c r="L60">
        <f t="shared" si="3"/>
        <v>8.9591052947566077</v>
      </c>
    </row>
    <row r="61" spans="1:12" x14ac:dyDescent="0.35">
      <c r="A61" t="s">
        <v>93</v>
      </c>
      <c r="B61" t="s">
        <v>103</v>
      </c>
      <c r="C61">
        <v>1</v>
      </c>
      <c r="D61" t="s">
        <v>95</v>
      </c>
      <c r="E61" s="1">
        <v>30000000</v>
      </c>
      <c r="F61" s="1">
        <v>9880000000</v>
      </c>
      <c r="G61" s="1">
        <v>117000000000</v>
      </c>
      <c r="H61">
        <f t="shared" si="4"/>
        <v>11.842105263157896</v>
      </c>
      <c r="I61">
        <f t="shared" si="5"/>
        <v>4229.333333333333</v>
      </c>
      <c r="J61" s="2">
        <v>58993470</v>
      </c>
      <c r="K61">
        <f t="shared" si="6"/>
        <v>0.50853085943240839</v>
      </c>
      <c r="L61">
        <f t="shared" si="3"/>
        <v>8.0904393066072711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Okech</dc:creator>
  <cp:lastModifiedBy>William Okech</cp:lastModifiedBy>
  <dcterms:created xsi:type="dcterms:W3CDTF">2025-01-23T13:56:10Z</dcterms:created>
  <dcterms:modified xsi:type="dcterms:W3CDTF">2026-04-09T15:24:01Z</dcterms:modified>
</cp:coreProperties>
</file>